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📌使用指南 (ReadMe)" state="visible" r:id="rId4"/>
    <sheet sheetId="2" name="商品底价库 (Products)" state="visible" r:id="rId5"/>
    <sheet sheetId="3" name="选配与工艺附加费 (Addons)" state="visible" r:id="rId6"/>
    <sheet sheetId="4" name="贸易术语与杂费 (Incoterms)" state="visible" r:id="rId7"/>
    <sheet sheetId="5" name="集装箱装载速算 (Container_Calc)" state="visible" r:id="rId8"/>
    <sheet sheetId="6" name="汇率与风控 (Exchange_Rates)" state="visible" r:id="rId9"/>
    <sheet sheetId="7" name="付款方式与条款 (Payment_Terms)" state="visible" r:id="rId10"/>
  </sheets>
  <calcPr calcId="171027"/>
</workbook>
</file>

<file path=xl/sharedStrings.xml><?xml version="1.0" encoding="utf-8"?>
<sst xmlns="http://schemas.openxmlformats.org/spreadsheetml/2006/main" count="175" uniqueCount="163">
  <si>
    <t>模块与工作表</t>
  </si>
  <si>
    <t>核心业务功能与作用</t>
  </si>
  <si>
    <t>责任人/维护角色</t>
  </si>
  <si>
    <t>系统生效机制与中小企业实操指南</t>
  </si>
  <si>
    <t>💡【安全防线】老板安全结算底价</t>
  </si>
  <si>
    <t>强烈建议在底价库中直接填写【安全对内结算底价】（已含工厂保底利润），绝无需录入真实生产成本！商业机密永不外泄</t>
  </si>
  <si>
    <t>企业老板 / 掌门人</t>
  </si>
  <si>
    <t>对外所有报价与核算均在此底价基础上向上浮动加价，即使员工或客户看到也永远不亏！</t>
  </si>
  <si>
    <t>🚀【极简开箱】3分钟极速上手</t>
  </si>
  <si>
    <t>小微企业仅需维护【产品型号】、【产品名称】、【出厂底价】3 列即可全面跑通！其余12列均为选填智能增益项</t>
  </si>
  <si>
    <t>业务员 / 跟单 / 财务</t>
  </si>
  <si>
    <t>支持任意顺序与模糊表头，5分钟即可将工厂现有的老 Excel 直接导入系统生效！</t>
  </si>
  <si>
    <t>1. 商品底价库 (Products)</t>
  </si>
  <si>
    <t>维护所有产品出厂安全底价、期望毛利、阶梯价、箱规与海关编码（前3列必填，其余按需选填）</t>
  </si>
  <si>
    <t>企业老板 / 财务总监</t>
  </si>
  <si>
    <t>修改后上传或发邮件即可秒级全员生效</t>
  </si>
  <si>
    <t>2. 选配与工艺附加费 (Addons)</t>
  </si>
  <si>
    <t>定义喷涂、刻标、防火棉、开模等定制工艺加价规则</t>
  </si>
  <si>
    <t>工程部 / 报价经理</t>
  </si>
  <si>
    <t>AI 自动在 PO 描述与备注中智能匹配累加</t>
  </si>
  <si>
    <t>3. 贸易术语与杂费 (Incoterms)</t>
  </si>
  <si>
    <t>配置 EXW 出厂价 / FOB 港口拖车报关杂费 / CIF 目的港海运指导</t>
  </si>
  <si>
    <t>出口单证 / 外贸经理</t>
  </si>
  <si>
    <t>根据买家指定交货条件自动计算港口杂费</t>
  </si>
  <si>
    <t>4. 集装箱装载速算 (Container_Calc)</t>
  </si>
  <si>
    <t>20GP / 40GP / 40HQ 标箱容积与智能装柜计算器</t>
  </si>
  <si>
    <t>物流部 / 业务员</t>
  </si>
  <si>
    <t>自动在 PDF 报价单呈现整柜装箱能力</t>
  </si>
  <si>
    <t>5. 汇率与风控 (Exchange_Rates)</t>
  </si>
  <si>
    <t>设定企业内部锁定基准汇率与 ±3% 汇率波动保护条款</t>
  </si>
  <si>
    <t>财务部 / 外贸总监</t>
  </si>
  <si>
    <t>锁定汇率，有效抵御人民币升值风险</t>
  </si>
  <si>
    <t>6. 付款方式与条款 (Payment_Terms)</t>
  </si>
  <si>
    <t>定义 100%全款预付折扣、即期信用证与信保账期成本</t>
  </si>
  <si>
    <t>财务部 / 老板</t>
  </si>
  <si>
    <t>自动核算账期资金成本</t>
  </si>
  <si>
    <t>产品型号/SKU (必填)</t>
  </si>
  <si>
    <t>买家常用别名 (Aliases·选填)</t>
  </si>
  <si>
    <t>产品名称与规格 (必填·英文品名)</t>
  </si>
  <si>
    <t>出厂底价 (RMB Cost·必填安全结算底价)</t>
  </si>
  <si>
    <t>最低保护红线价 (Floor Price·选填)</t>
  </si>
  <si>
    <t>预期毛利率 (Margin·选填)</t>
  </si>
  <si>
    <t>最小起订量 (MOQ·选填)</t>
  </si>
  <si>
    <t>样品打样倍率 (Sample Multiplier·选填)</t>
  </si>
  <si>
    <t>5000件优惠底价 (Tier2·选填)</t>
  </si>
  <si>
    <t>整柜特惠底价 (Tier3·选填)</t>
  </si>
  <si>
    <t>单箱装量 (PCS/CTN·装柜选填)</t>
  </si>
  <si>
    <t>外箱体积 (CBM/CTN·装柜选填)</t>
  </si>
  <si>
    <t>生产交期 (Lead Time·选填)</t>
  </si>
  <si>
    <t>海关编码 (HS Code·选填)</t>
  </si>
  <si>
    <t>参考美元售价 (USD Ref Price·公式计算)</t>
  </si>
  <si>
    <t>ST-2026-A</t>
  </si>
  <si>
    <t>ACME-991, Heavy Bracket, 991支架, Stand Pro</t>
  </si>
  <si>
    <t>Aluminum Alloy Precision Bracket (铝合金精密五金支架)</t>
  </si>
  <si>
    <t>25-30 Days</t>
  </si>
  <si>
    <t>7616.99.90</t>
  </si>
  <si>
    <t>ST-2026-B</t>
  </si>
  <si>
    <t>FAST-SCREW, Hex Bolt, 不锈钢紧固件, 8820螺丝</t>
  </si>
  <si>
    <t>Stainless Steel Hex Fastener Screws (不锈钢沉头紧固件螺丝)</t>
  </si>
  <si>
    <t>15-20 Days</t>
  </si>
  <si>
    <t>7318.15.00</t>
  </si>
  <si>
    <t>ERG-PRO-V2</t>
  </si>
  <si>
    <t>Ergo Chair, Mesh Pro Chair, 9088办公椅, Executive Chair</t>
  </si>
  <si>
    <t>Ergonomic Mesh Office Chair (人体工学全网办公椅)</t>
  </si>
  <si>
    <t>30-35 Days</t>
  </si>
  <si>
    <t>9401.31.00</t>
  </si>
  <si>
    <t>AL-BASE-99</t>
  </si>
  <si>
    <t>5-Star Base, Chair Leg, 铝合金五星脚, Star Base 99</t>
  </si>
  <si>
    <t>Die-casting Aluminum 5-Star Base (高压铸铝五星椅脚)</t>
  </si>
  <si>
    <t>20-25 Days</t>
  </si>
  <si>
    <t>9401.99.00</t>
  </si>
  <si>
    <t>HD-ARM-08</t>
  </si>
  <si>
    <t>3D Armrest, PU Arm, 升降扶手, ARM-08</t>
  </si>
  <si>
    <t>3D Adjustable PU Armrest Set (3D升降多功能PU扶手套装)</t>
  </si>
  <si>
    <t>选配工艺关键词 (Keywords)</t>
  </si>
  <si>
    <t>适用范围</t>
  </si>
  <si>
    <t>加价金额 (RMB)</t>
  </si>
  <si>
    <t>计价单位</t>
  </si>
  <si>
    <t>工艺说明与模具返还机制</t>
  </si>
  <si>
    <t>Black Coating, 哑光黑, 黑色喷涂, Black Finish</t>
  </si>
  <si>
    <t>五金/椅脚</t>
  </si>
  <si>
    <t>PCS (单件)</t>
  </si>
  <si>
    <t>静电粉末哑光黑喷涂，耐磨防刮</t>
  </si>
  <si>
    <t>Laser Logo, 激光刻标, 丝印, Custom Logo</t>
  </si>
  <si>
    <t>全品类</t>
  </si>
  <si>
    <t>单位置激光镭雕或单色丝印客户商标</t>
  </si>
  <si>
    <t>BS5852, 英国防火, UK Fireproof</t>
  </si>
  <si>
    <t>办公椅类</t>
  </si>
  <si>
    <t>符合英国 BS5852 标准高密度阻燃海绵</t>
  </si>
  <si>
    <t>CA117, 加州防火, US Fireproof</t>
  </si>
  <si>
    <t>符合美国加州 CA117 阻燃标准</t>
  </si>
  <si>
    <t>Color Box, 独立彩盒, Mail Box, 邮购盒</t>
  </si>
  <si>
    <t>5层加厚K=K独立彩盒包装，带手提手柄</t>
  </si>
  <si>
    <t>Drop Test Package, 摔箱测试包装</t>
  </si>
  <si>
    <t>家具类</t>
  </si>
  <si>
    <t>通过 ISTA-1A 国际摔箱测试电商包装</t>
  </si>
  <si>
    <t>Custom Mold, 开模定制, Tooling Fee</t>
  </si>
  <si>
    <t>五金/塑料</t>
  </si>
  <si>
    <t>SET (单套)</t>
  </si>
  <si>
    <t>专有模具费。大货订单累计达 5000 件时 100% 全额返还</t>
  </si>
  <si>
    <t>贸易术语 (Incoterm)</t>
  </si>
  <si>
    <t>指定港口/交货地点</t>
  </si>
  <si>
    <t>单件均摊杂费 (RMB)</t>
  </si>
  <si>
    <t>整单固定杂费 (RMB)</t>
  </si>
  <si>
    <t>费用包含说明</t>
  </si>
  <si>
    <t>EXW</t>
  </si>
  <si>
    <t>工厂出厂 (Factory Ex-works)</t>
  </si>
  <si>
    <t>买家自提，工厂仅提供标准出厂包装，0额外杂费</t>
  </si>
  <si>
    <t>FOB</t>
  </si>
  <si>
    <t>深圳盐田港 / 蛇口港 (Shenzhen)</t>
  </si>
  <si>
    <t>包含工厂至深圳码头内陆拖车费、出口报关费、港口码头费(THC)</t>
  </si>
  <si>
    <t>广州南沙港 (Guangzhou Nansha)</t>
  </si>
  <si>
    <t>包含南沙码头拖车、报关、港杂封条费</t>
  </si>
  <si>
    <t>佛山三山港 / 顺德新港 (Foshan Port)</t>
  </si>
  <si>
    <t>佛山内河驳船港口报关装船费</t>
  </si>
  <si>
    <t>CIF</t>
  </si>
  <si>
    <t>CIF 目的港 (Destination Port - 需另询海运费)</t>
  </si>
  <si>
    <t>基准港杂费同FOB + 实际海运保险费（海运费随航线与船期浮动，可在复核界面直接打字或备注调整）</t>
  </si>
  <si>
    <t>集装箱型号 (Container Type)</t>
  </si>
  <si>
    <t>理论容积 (CBM)</t>
  </si>
  <si>
    <t>安全装载容积 (CBM)</t>
  </si>
  <si>
    <t>最大载重 (KG)</t>
  </si>
  <si>
    <t>装柜适用建议</t>
  </si>
  <si>
    <t>20GP (20尺小柜)</t>
  </si>
  <si>
    <t>适合五金紧固件、金属椅脚等重货/小批量试单</t>
  </si>
  <si>
    <t>40GP (40尺平柜)</t>
  </si>
  <si>
    <t>适合体积与重量适中的标准工业品</t>
  </si>
  <si>
    <t>40HQ (40尺高柜)</t>
  </si>
  <si>
    <t>适合办公椅、家具、家电等轻泡泡货，性价比最高</t>
  </si>
  <si>
    <t>45HQ (45尺超高柜)</t>
  </si>
  <si>
    <t>北美航线专用超大容积特种柜</t>
  </si>
  <si>
    <t>外币币种 (Target Currency)</t>
  </si>
  <si>
    <t>内部锁定汇率 (Rate To RMB)</t>
  </si>
  <si>
    <t>币种符号 (Symbol)</t>
  </si>
  <si>
    <t>汇率波动保护说明</t>
  </si>
  <si>
    <t>USD</t>
  </si>
  <si>
    <t>$</t>
  </si>
  <si>
    <t>基准美元结算汇率 (定金前波动超过±3%按实时微调)</t>
  </si>
  <si>
    <t>EUR</t>
  </si>
  <si>
    <t>€</t>
  </si>
  <si>
    <t>欧元区采购商专用汇率</t>
  </si>
  <si>
    <t>GBP</t>
  </si>
  <si>
    <t>£</t>
  </si>
  <si>
    <t>英国市场专用汇率</t>
  </si>
  <si>
    <t>CAD</t>
  </si>
  <si>
    <t>C$</t>
  </si>
  <si>
    <t>加拿大市场专用汇率</t>
  </si>
  <si>
    <t>AUD</t>
  </si>
  <si>
    <t>A$</t>
  </si>
  <si>
    <t>澳洲市场专用汇率</t>
  </si>
  <si>
    <t>AED</t>
  </si>
  <si>
    <t>中东阿联酋迪拉姆专用汇率</t>
  </si>
  <si>
    <t>付款方式 (Payment Term)</t>
  </si>
  <si>
    <t>价格浮动比例 (%)</t>
  </si>
  <si>
    <t>资金成本说明与商业要求</t>
  </si>
  <si>
    <t>100% T/T Advance (100%前T/T预付)</t>
  </si>
  <si>
    <t>全款预付直降 2% 现金折扣</t>
  </si>
  <si>
    <t>30% Deposit + 70% Balance (标准T/T)</t>
  </si>
  <si>
    <t>行业标准付款方式，30%定金排产，70%见提单副本付款</t>
  </si>
  <si>
    <t>L/C at sight (即期不可撤销信用证)</t>
  </si>
  <si>
    <t>包含单据审核费与银行即期议付手续费(+1.5%)</t>
  </si>
  <si>
    <t>OA 30/60 Days (赊销信保账期)</t>
  </si>
  <si>
    <t>包含中信保投保费与企业资金占用利息(+4.5%)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</si>
</sst>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.5"/>
      <name val="Microsoft YaHei"/>
    </font>
    <font>
      <color rgb="1E293B"/>
      <sz val="10"/>
      <name val="Microsoft YaHei"/>
    </font>
  </fonts>
  <fills count="10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8FAFC"/>
      </patternFill>
    </fill>
    <fill>
      <patternFill patternType="solid">
        <fgColor rgb="1E3A8A"/>
      </patternFill>
    </fill>
    <fill>
      <patternFill patternType="solid">
        <fgColor rgb="5B21B6"/>
      </patternFill>
    </fill>
    <fill>
      <patternFill patternType="solid">
        <fgColor rgb="0F766E"/>
      </patternFill>
    </fill>
    <fill>
      <patternFill patternType="solid">
        <fgColor rgb="334155"/>
      </patternFill>
    </fill>
    <fill>
      <patternFill patternType="solid">
        <fgColor rgb="B45309"/>
      </patternFill>
    </fill>
    <fill>
      <patternFill patternType="solid">
        <fgColor rgb="374151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76" customWidth="1"/>
    <col min="3" max="3" width="24" customWidth="1"/>
    <col min="4" max="4" width="76" customWidth="1"/>
  </cols>
  <sheetData>
    <row r="1" ht="36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48" customHeight="1" spans="1:4" x14ac:dyDescent="0.25">
      <c r="A2" s="2" t="s">
        <v>4</v>
      </c>
      <c r="B2" s="2" t="s">
        <v>5</v>
      </c>
      <c r="C2" s="3" t="s">
        <v>6</v>
      </c>
      <c r="D2" s="2" t="s">
        <v>7</v>
      </c>
    </row>
    <row r="3" ht="48" customHeight="1" spans="1:4" x14ac:dyDescent="0.25">
      <c r="A3" s="4" t="s">
        <v>8</v>
      </c>
      <c r="B3" s="4" t="s">
        <v>9</v>
      </c>
      <c r="C3" s="5" t="s">
        <v>10</v>
      </c>
      <c r="D3" s="4" t="s">
        <v>11</v>
      </c>
    </row>
    <row r="4" ht="48" customHeight="1" spans="1:4" x14ac:dyDescent="0.25">
      <c r="A4" s="2" t="s">
        <v>12</v>
      </c>
      <c r="B4" s="2" t="s">
        <v>13</v>
      </c>
      <c r="C4" s="3" t="s">
        <v>14</v>
      </c>
      <c r="D4" s="2" t="s">
        <v>15</v>
      </c>
    </row>
    <row r="5" ht="28" customHeight="1" spans="1:4" x14ac:dyDescent="0.25">
      <c r="A5" s="4" t="s">
        <v>16</v>
      </c>
      <c r="B5" s="4" t="s">
        <v>17</v>
      </c>
      <c r="C5" s="5" t="s">
        <v>18</v>
      </c>
      <c r="D5" s="4" t="s">
        <v>19</v>
      </c>
    </row>
    <row r="6" ht="48" customHeight="1" spans="1:4" x14ac:dyDescent="0.25">
      <c r="A6" s="2" t="s">
        <v>20</v>
      </c>
      <c r="B6" s="2" t="s">
        <v>21</v>
      </c>
      <c r="C6" s="3" t="s">
        <v>22</v>
      </c>
      <c r="D6" s="2" t="s">
        <v>23</v>
      </c>
    </row>
    <row r="7" ht="48" customHeight="1" spans="1:4" x14ac:dyDescent="0.25">
      <c r="A7" s="4" t="s">
        <v>24</v>
      </c>
      <c r="B7" s="4" t="s">
        <v>25</v>
      </c>
      <c r="C7" s="5" t="s">
        <v>26</v>
      </c>
      <c r="D7" s="4" t="s">
        <v>27</v>
      </c>
    </row>
    <row r="8" ht="48" customHeight="1" spans="1:4" x14ac:dyDescent="0.25">
      <c r="A8" s="2" t="s">
        <v>28</v>
      </c>
      <c r="B8" s="2" t="s">
        <v>29</v>
      </c>
      <c r="C8" s="3" t="s">
        <v>30</v>
      </c>
      <c r="D8" s="2" t="s">
        <v>31</v>
      </c>
    </row>
    <row r="9" ht="48" customHeight="1" spans="1:4" x14ac:dyDescent="0.25">
      <c r="A9" s="4" t="s">
        <v>32</v>
      </c>
      <c r="B9" s="4" t="s">
        <v>33</v>
      </c>
      <c r="C9" s="5" t="s">
        <v>34</v>
      </c>
      <c r="D9" s="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48" customWidth="1"/>
    <col min="3" max="3" width="58" customWidth="1"/>
    <col min="4" max="4" width="40" customWidth="1"/>
    <col min="5" max="5" width="42" customWidth="1"/>
    <col min="6" max="6" width="32" customWidth="1"/>
    <col min="7" max="7" width="29" customWidth="1"/>
    <col min="8" max="8" width="46" customWidth="1"/>
    <col min="9" max="9" width="36" customWidth="1"/>
    <col min="10" max="10" width="33" customWidth="1"/>
    <col min="11" max="12" width="35" customWidth="1"/>
    <col min="13" max="13" width="33" customWidth="1"/>
    <col min="14" max="14" width="31" customWidth="1"/>
    <col min="15" max="15" width="38" customWidth="1"/>
  </cols>
  <sheetData>
    <row r="1" ht="36" customHeight="1" spans="1:15" x14ac:dyDescent="0.25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</row>
    <row r="2" ht="48" customHeight="1" spans="1:15" x14ac:dyDescent="0.25">
      <c r="A2" s="3" t="s">
        <v>51</v>
      </c>
      <c r="B2" s="2" t="s">
        <v>52</v>
      </c>
      <c r="C2" s="2" t="s">
        <v>53</v>
      </c>
      <c r="D2" s="3">
        <v>15.5</v>
      </c>
      <c r="E2" s="3">
        <v>13</v>
      </c>
      <c r="F2" s="3">
        <v>0.3</v>
      </c>
      <c r="G2" s="3">
        <v>1000</v>
      </c>
      <c r="H2" s="3">
        <v>2.5</v>
      </c>
      <c r="I2" s="3">
        <v>13.5</v>
      </c>
      <c r="J2" s="3">
        <v>12</v>
      </c>
      <c r="K2" s="3">
        <v>50</v>
      </c>
      <c r="L2" s="3">
        <v>0.045</v>
      </c>
      <c r="M2" s="3" t="s">
        <v>54</v>
      </c>
      <c r="N2" s="3" t="s">
        <v>55</v>
      </c>
      <c r="O2" s="3">
        <f>ROUND(((D2*(1+F2)+0)/'汇率与风控 (Exchange_Rates)'!B2), 2)</f>
        <v>2.8</v>
      </c>
    </row>
    <row r="3" ht="48" customHeight="1" spans="1:15" x14ac:dyDescent="0.25">
      <c r="A3" s="5" t="s">
        <v>56</v>
      </c>
      <c r="B3" s="4" t="s">
        <v>57</v>
      </c>
      <c r="C3" s="4" t="s">
        <v>58</v>
      </c>
      <c r="D3" s="5">
        <v>0.85</v>
      </c>
      <c r="E3" s="5">
        <v>0.6</v>
      </c>
      <c r="F3" s="5">
        <v>0.4</v>
      </c>
      <c r="G3" s="5">
        <v>5000</v>
      </c>
      <c r="H3" s="5">
        <v>3</v>
      </c>
      <c r="I3" s="5">
        <v>0.72</v>
      </c>
      <c r="J3" s="5">
        <v>0.65</v>
      </c>
      <c r="K3" s="5">
        <v>1000</v>
      </c>
      <c r="L3" s="5">
        <v>0.015</v>
      </c>
      <c r="M3" s="5" t="s">
        <v>59</v>
      </c>
      <c r="N3" s="5" t="s">
        <v>60</v>
      </c>
      <c r="O3" s="5">
        <f>ROUND(((D3*(1+F3)+0)/'汇率与风控 (Exchange_Rates)'!B2), 2)</f>
        <v>0.17</v>
      </c>
    </row>
    <row r="4" ht="48" customHeight="1" spans="1:15" x14ac:dyDescent="0.25">
      <c r="A4" s="3" t="s">
        <v>61</v>
      </c>
      <c r="B4" s="2" t="s">
        <v>62</v>
      </c>
      <c r="C4" s="2" t="s">
        <v>63</v>
      </c>
      <c r="D4" s="3">
        <v>185</v>
      </c>
      <c r="E4" s="3">
        <v>150</v>
      </c>
      <c r="F4" s="3">
        <v>0.35</v>
      </c>
      <c r="G4" s="3">
        <v>200</v>
      </c>
      <c r="H4" s="3">
        <v>2</v>
      </c>
      <c r="I4" s="3">
        <v>168</v>
      </c>
      <c r="J4" s="3">
        <v>155</v>
      </c>
      <c r="K4" s="3">
        <v>1</v>
      </c>
      <c r="L4" s="3">
        <v>0.145</v>
      </c>
      <c r="M4" s="3" t="s">
        <v>64</v>
      </c>
      <c r="N4" s="3" t="s">
        <v>65</v>
      </c>
      <c r="O4" s="3">
        <f>ROUND(((D4*(1+F4)+0)/'汇率与风控 (Exchange_Rates)'!B2), 2)</f>
        <v>34.69</v>
      </c>
    </row>
    <row r="5" ht="48" customHeight="1" spans="1:15" x14ac:dyDescent="0.25">
      <c r="A5" s="5" t="s">
        <v>66</v>
      </c>
      <c r="B5" s="4" t="s">
        <v>67</v>
      </c>
      <c r="C5" s="4" t="s">
        <v>68</v>
      </c>
      <c r="D5" s="5">
        <v>38</v>
      </c>
      <c r="E5" s="5">
        <v>30</v>
      </c>
      <c r="F5" s="5">
        <v>0.3</v>
      </c>
      <c r="G5" s="5">
        <v>500</v>
      </c>
      <c r="H5" s="5">
        <v>2.5</v>
      </c>
      <c r="I5" s="5">
        <v>34.5</v>
      </c>
      <c r="J5" s="5">
        <v>31</v>
      </c>
      <c r="K5" s="5">
        <v>5</v>
      </c>
      <c r="L5" s="5">
        <v>0.085</v>
      </c>
      <c r="M5" s="5" t="s">
        <v>69</v>
      </c>
      <c r="N5" s="5" t="s">
        <v>70</v>
      </c>
      <c r="O5" s="5">
        <f>ROUND(((D5*(1+F5)+0)/'汇率与风控 (Exchange_Rates)'!B2), 2)</f>
        <v>6.86</v>
      </c>
    </row>
    <row r="6" ht="48" customHeight="1" spans="1:15" x14ac:dyDescent="0.25">
      <c r="A6" s="3" t="s">
        <v>71</v>
      </c>
      <c r="B6" s="2" t="s">
        <v>72</v>
      </c>
      <c r="C6" s="2" t="s">
        <v>73</v>
      </c>
      <c r="D6" s="3">
        <v>24</v>
      </c>
      <c r="E6" s="3">
        <v>19</v>
      </c>
      <c r="F6" s="3">
        <v>0.3</v>
      </c>
      <c r="G6" s="3">
        <v>500</v>
      </c>
      <c r="H6" s="3">
        <v>2.5</v>
      </c>
      <c r="I6" s="3">
        <v>21.5</v>
      </c>
      <c r="J6" s="3">
        <v>19.5</v>
      </c>
      <c r="K6" s="3">
        <v>20</v>
      </c>
      <c r="L6" s="3">
        <v>0.06</v>
      </c>
      <c r="M6" s="3" t="s">
        <v>69</v>
      </c>
      <c r="N6" s="3" t="s">
        <v>70</v>
      </c>
      <c r="O6" s="3">
        <f>ROUND(((D6*(1+F6)+0)/'汇率与风控 (Exchange_Rates)'!B2), 2)</f>
        <v>4.33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8" customWidth="1"/>
    <col min="3" max="3" width="21" customWidth="1"/>
    <col min="4" max="4" width="18" customWidth="1"/>
    <col min="5" max="5" width="65" customWidth="1"/>
  </cols>
  <sheetData>
    <row r="1" ht="36" customHeight="1" spans="1:5" x14ac:dyDescent="0.25">
      <c r="A1" s="7" t="s">
        <v>74</v>
      </c>
      <c r="B1" s="7" t="s">
        <v>75</v>
      </c>
      <c r="C1" s="7" t="s">
        <v>76</v>
      </c>
      <c r="D1" s="7" t="s">
        <v>77</v>
      </c>
      <c r="E1" s="7" t="s">
        <v>78</v>
      </c>
    </row>
    <row r="2" ht="48" customHeight="1" spans="1:5" x14ac:dyDescent="0.25">
      <c r="A2" s="2" t="s">
        <v>79</v>
      </c>
      <c r="B2" s="3" t="s">
        <v>80</v>
      </c>
      <c r="C2" s="3">
        <v>3</v>
      </c>
      <c r="D2" s="3" t="s">
        <v>81</v>
      </c>
      <c r="E2" s="2" t="s">
        <v>82</v>
      </c>
    </row>
    <row r="3" ht="28" customHeight="1" spans="1:5" x14ac:dyDescent="0.25">
      <c r="A3" s="4" t="s">
        <v>83</v>
      </c>
      <c r="B3" s="5" t="s">
        <v>84</v>
      </c>
      <c r="C3" s="5">
        <v>0.8</v>
      </c>
      <c r="D3" s="5" t="s">
        <v>81</v>
      </c>
      <c r="E3" s="4" t="s">
        <v>85</v>
      </c>
    </row>
    <row r="4" ht="28" customHeight="1" spans="1:5" x14ac:dyDescent="0.25">
      <c r="A4" s="2" t="s">
        <v>86</v>
      </c>
      <c r="B4" s="3" t="s">
        <v>87</v>
      </c>
      <c r="C4" s="3">
        <v>25</v>
      </c>
      <c r="D4" s="3" t="s">
        <v>81</v>
      </c>
      <c r="E4" s="2" t="s">
        <v>88</v>
      </c>
    </row>
    <row r="5" ht="28" customHeight="1" spans="1:5" x14ac:dyDescent="0.25">
      <c r="A5" s="4" t="s">
        <v>89</v>
      </c>
      <c r="B5" s="5" t="s">
        <v>87</v>
      </c>
      <c r="C5" s="5">
        <v>20</v>
      </c>
      <c r="D5" s="5" t="s">
        <v>81</v>
      </c>
      <c r="E5" s="4" t="s">
        <v>90</v>
      </c>
    </row>
    <row r="6" ht="28" customHeight="1" spans="1:5" x14ac:dyDescent="0.25">
      <c r="A6" s="2" t="s">
        <v>91</v>
      </c>
      <c r="B6" s="3" t="s">
        <v>84</v>
      </c>
      <c r="C6" s="3">
        <v>2.5</v>
      </c>
      <c r="D6" s="3" t="s">
        <v>81</v>
      </c>
      <c r="E6" s="2" t="s">
        <v>92</v>
      </c>
    </row>
    <row r="7" ht="28" customHeight="1" spans="1:5" x14ac:dyDescent="0.25">
      <c r="A7" s="4" t="s">
        <v>93</v>
      </c>
      <c r="B7" s="5" t="s">
        <v>94</v>
      </c>
      <c r="C7" s="5">
        <v>15</v>
      </c>
      <c r="D7" s="5" t="s">
        <v>81</v>
      </c>
      <c r="E7" s="4" t="s">
        <v>95</v>
      </c>
    </row>
    <row r="8" ht="28" customHeight="1" spans="1:5" x14ac:dyDescent="0.25">
      <c r="A8" s="2" t="s">
        <v>96</v>
      </c>
      <c r="B8" s="3" t="s">
        <v>97</v>
      </c>
      <c r="C8" s="3">
        <v>2000</v>
      </c>
      <c r="D8" s="3" t="s">
        <v>98</v>
      </c>
      <c r="E8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6" customWidth="1"/>
    <col min="3" max="4" width="22" customWidth="1"/>
    <col min="5" max="5" width="92" customWidth="1"/>
  </cols>
  <sheetData>
    <row r="1" ht="36" customHeight="1" spans="1:5" x14ac:dyDescent="0.25">
      <c r="A1" s="8" t="s">
        <v>100</v>
      </c>
      <c r="B1" s="8" t="s">
        <v>101</v>
      </c>
      <c r="C1" s="8" t="s">
        <v>102</v>
      </c>
      <c r="D1" s="8" t="s">
        <v>103</v>
      </c>
      <c r="E1" s="8" t="s">
        <v>104</v>
      </c>
    </row>
    <row r="2" ht="28" customHeight="1" spans="1:5" x14ac:dyDescent="0.25">
      <c r="A2" s="3" t="s">
        <v>105</v>
      </c>
      <c r="B2" s="2" t="s">
        <v>106</v>
      </c>
      <c r="C2" s="3">
        <v>0</v>
      </c>
      <c r="D2" s="3">
        <v>0</v>
      </c>
      <c r="E2" s="2" t="s">
        <v>107</v>
      </c>
    </row>
    <row r="3" ht="28" customHeight="1" spans="1:5" x14ac:dyDescent="0.25">
      <c r="A3" s="5" t="s">
        <v>108</v>
      </c>
      <c r="B3" s="4" t="s">
        <v>109</v>
      </c>
      <c r="C3" s="5">
        <v>0.2</v>
      </c>
      <c r="D3" s="5">
        <v>1500</v>
      </c>
      <c r="E3" s="4" t="s">
        <v>110</v>
      </c>
    </row>
    <row r="4" ht="28" customHeight="1" spans="1:5" x14ac:dyDescent="0.25">
      <c r="A4" s="3" t="s">
        <v>108</v>
      </c>
      <c r="B4" s="2" t="s">
        <v>111</v>
      </c>
      <c r="C4" s="3">
        <v>0.2</v>
      </c>
      <c r="D4" s="3">
        <v>1400</v>
      </c>
      <c r="E4" s="2" t="s">
        <v>112</v>
      </c>
    </row>
    <row r="5" ht="28" customHeight="1" spans="1:5" x14ac:dyDescent="0.25">
      <c r="A5" s="5" t="s">
        <v>108</v>
      </c>
      <c r="B5" s="4" t="s">
        <v>113</v>
      </c>
      <c r="C5" s="5">
        <v>0.15</v>
      </c>
      <c r="D5" s="5">
        <v>1200</v>
      </c>
      <c r="E5" s="4" t="s">
        <v>114</v>
      </c>
    </row>
    <row r="6" ht="48" customHeight="1" spans="1:5" x14ac:dyDescent="0.25">
      <c r="A6" s="3" t="s">
        <v>115</v>
      </c>
      <c r="B6" s="2" t="s">
        <v>116</v>
      </c>
      <c r="C6" s="3">
        <v>0.2</v>
      </c>
      <c r="D6" s="3">
        <v>1500</v>
      </c>
      <c r="E6" s="2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1" customWidth="1"/>
    <col min="3" max="3" width="26" customWidth="1"/>
    <col min="4" max="4" width="20" customWidth="1"/>
    <col min="5" max="5" width="60" customWidth="1"/>
  </cols>
  <sheetData>
    <row r="1" ht="36" customHeight="1" spans="1:5" x14ac:dyDescent="0.25">
      <c r="A1" s="9" t="s">
        <v>118</v>
      </c>
      <c r="B1" s="9" t="s">
        <v>119</v>
      </c>
      <c r="C1" s="9" t="s">
        <v>120</v>
      </c>
      <c r="D1" s="9" t="s">
        <v>121</v>
      </c>
      <c r="E1" s="9" t="s">
        <v>122</v>
      </c>
    </row>
    <row r="2" ht="28" customHeight="1" spans="1:5" x14ac:dyDescent="0.25">
      <c r="A2" s="3" t="s">
        <v>123</v>
      </c>
      <c r="B2" s="3">
        <v>33.2</v>
      </c>
      <c r="C2" s="3">
        <v>28</v>
      </c>
      <c r="D2" s="3">
        <v>21800</v>
      </c>
      <c r="E2" s="2" t="s">
        <v>124</v>
      </c>
    </row>
    <row r="3" ht="28" customHeight="1" spans="1:5" x14ac:dyDescent="0.25">
      <c r="A3" s="5" t="s">
        <v>125</v>
      </c>
      <c r="B3" s="5">
        <v>67.7</v>
      </c>
      <c r="C3" s="5">
        <v>58</v>
      </c>
      <c r="D3" s="5">
        <v>26000</v>
      </c>
      <c r="E3" s="4" t="s">
        <v>126</v>
      </c>
    </row>
    <row r="4" ht="28" customHeight="1" spans="1:5" x14ac:dyDescent="0.25">
      <c r="A4" s="3" t="s">
        <v>127</v>
      </c>
      <c r="B4" s="3">
        <v>76.4</v>
      </c>
      <c r="C4" s="3">
        <v>68</v>
      </c>
      <c r="D4" s="3">
        <v>26000</v>
      </c>
      <c r="E4" s="2" t="s">
        <v>128</v>
      </c>
    </row>
    <row r="5" ht="28" customHeight="1" spans="1:5" x14ac:dyDescent="0.25">
      <c r="A5" s="5" t="s">
        <v>129</v>
      </c>
      <c r="B5" s="5">
        <v>86</v>
      </c>
      <c r="C5" s="5">
        <v>78</v>
      </c>
      <c r="D5" s="5">
        <v>29000</v>
      </c>
      <c r="E5" s="4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5" customWidth="1"/>
    <col min="3" max="3" width="25" customWidth="1"/>
    <col min="4" max="4" width="65" customWidth="1"/>
  </cols>
  <sheetData>
    <row r="1" ht="36" customHeight="1" spans="1:4" x14ac:dyDescent="0.25">
      <c r="A1" s="10" t="s">
        <v>131</v>
      </c>
      <c r="B1" s="10" t="s">
        <v>132</v>
      </c>
      <c r="C1" s="10" t="s">
        <v>133</v>
      </c>
      <c r="D1" s="10" t="s">
        <v>134</v>
      </c>
    </row>
    <row r="2" ht="28" customHeight="1" spans="1:4" x14ac:dyDescent="0.25">
      <c r="A2" s="3" t="s">
        <v>135</v>
      </c>
      <c r="B2" s="3">
        <v>7.2</v>
      </c>
      <c r="C2" s="3" t="s">
        <v>136</v>
      </c>
      <c r="D2" s="2" t="s">
        <v>137</v>
      </c>
    </row>
    <row r="3" ht="28" customHeight="1" spans="1:4" x14ac:dyDescent="0.25">
      <c r="A3" s="5" t="s">
        <v>138</v>
      </c>
      <c r="B3" s="5">
        <v>7.8</v>
      </c>
      <c r="C3" s="5" t="s">
        <v>139</v>
      </c>
      <c r="D3" s="5" t="s">
        <v>140</v>
      </c>
    </row>
    <row r="4" ht="28" customHeight="1" spans="1:4" x14ac:dyDescent="0.25">
      <c r="A4" s="3" t="s">
        <v>141</v>
      </c>
      <c r="B4" s="3">
        <v>9.1</v>
      </c>
      <c r="C4" s="3" t="s">
        <v>142</v>
      </c>
      <c r="D4" s="3" t="s">
        <v>143</v>
      </c>
    </row>
    <row r="5" ht="28" customHeight="1" spans="1:4" x14ac:dyDescent="0.25">
      <c r="A5" s="5" t="s">
        <v>144</v>
      </c>
      <c r="B5" s="5">
        <v>5.3</v>
      </c>
      <c r="C5" s="5" t="s">
        <v>145</v>
      </c>
      <c r="D5" s="5" t="s">
        <v>146</v>
      </c>
    </row>
    <row r="6" ht="28" customHeight="1" spans="1:4" x14ac:dyDescent="0.25">
      <c r="A6" s="3" t="s">
        <v>147</v>
      </c>
      <c r="B6" s="3">
        <v>4.8</v>
      </c>
      <c r="C6" s="3" t="s">
        <v>148</v>
      </c>
      <c r="D6" s="3" t="s">
        <v>149</v>
      </c>
    </row>
    <row r="7" ht="28" customHeight="1" spans="1:4" x14ac:dyDescent="0.25">
      <c r="A7" s="5" t="s">
        <v>150</v>
      </c>
      <c r="B7" s="5">
        <v>1.96</v>
      </c>
      <c r="C7" s="5" t="s">
        <v>150</v>
      </c>
      <c r="D7" s="4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23" customWidth="1"/>
    <col min="3" max="3" width="68" customWidth="1"/>
  </cols>
  <sheetData>
    <row r="1" ht="36" customHeight="1" spans="1:3" x14ac:dyDescent="0.25">
      <c r="A1" s="11" t="s">
        <v>152</v>
      </c>
      <c r="B1" s="11" t="s">
        <v>153</v>
      </c>
      <c r="C1" s="11" t="s">
        <v>154</v>
      </c>
    </row>
    <row r="2" ht="28" customHeight="1" spans="1:3" x14ac:dyDescent="0.25">
      <c r="A2" s="2" t="s">
        <v>155</v>
      </c>
      <c r="B2" s="3">
        <v>-0.02</v>
      </c>
      <c r="C2" s="2" t="s">
        <v>156</v>
      </c>
    </row>
    <row r="3" ht="28" customHeight="1" spans="1:3" x14ac:dyDescent="0.25">
      <c r="A3" s="4" t="s">
        <v>157</v>
      </c>
      <c r="B3" s="5">
        <v>0</v>
      </c>
      <c r="C3" s="4" t="s">
        <v>158</v>
      </c>
    </row>
    <row r="4" ht="28" customHeight="1" spans="1:3" x14ac:dyDescent="0.25">
      <c r="A4" s="2" t="s">
        <v>159</v>
      </c>
      <c r="B4" s="3">
        <v>0.015</v>
      </c>
      <c r="C4" s="2" t="s">
        <v>160</v>
      </c>
    </row>
    <row r="5" ht="28" customHeight="1" spans="1:3" x14ac:dyDescent="0.25">
      <c r="A5" s="4" t="s">
        <v>161</v>
      </c>
      <c r="B5" s="5">
        <v>0.045</v>
      </c>
      <c r="C5" s="4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📌使用指南 (ReadMe)</vt:lpstr>
      <vt:lpstr>商品底价库 (Products)</vt:lpstr>
      <vt:lpstr>选配与工艺附加费 (Addons)</vt:lpstr>
      <vt:lpstr>贸易术语与杂费 (Incoterms)</vt:lpstr>
      <vt:lpstr>集装箱装载速算 (Container_Calc)</vt:lpstr>
      <vt:lpstr>汇率与风控 (Exchange_Rates)</vt:lpstr>
      <vt:lpstr>付款方式与条款 (Payment_Terms)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AI外贸数字员工</dc:creator>
  <dc:title/>
  <dc:subject/>
  <dc:description/>
  <cp:keywords/>
  <cp:category/>
  <cp:lastModifiedBy>AI外贸报价大脑</cp:lastModifiedBy>
  <dcterms:created xsi:type="dcterms:W3CDTF">2026-09-05T03:32:13Z</dcterms:created>
  <dcterms:modified xsi:type="dcterms:W3CDTF">2026-09-05T03:32:13Z</dcterms:modified>
</cp:coreProperties>
</file>