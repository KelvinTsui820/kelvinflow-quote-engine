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📌使用指南 (ReadMe)" sheetId="1" r:id="rId1"/>
    <sheet name="商品底价库 (Products)" sheetId="2" r:id="rId2"/>
    <sheet name="贸易术语与杂费 (Incoterms)" sheetId="3" r:id="rId3"/>
    <sheet name="集装箱装载速算 (Container_Calc)" sheetId="4" r:id="rId4"/>
    <sheet name="汇率与风控 (Exchange_Rates)" sheetId="5" r:id="rId5"/>
    <sheet name="付款方式与条款 (Payment_Terms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模块与工作表</v>
      </c>
      <c r="B1" t="str">
        <v>核心业务功能与作用</v>
      </c>
      <c r="C1" t="str">
        <v>责任人/维护角色</v>
      </c>
      <c r="D1" t="str">
        <v>系统生效机制与中小企业实操指南</v>
      </c>
    </row>
    <row r="2">
      <c r="A2" t="str">
        <v>💡【安全防线】老板安全结算底价</v>
      </c>
      <c r="B2" t="str">
        <v>强烈建议在底价库中直接填写【安全对内结算底价】（已含工厂保底利润），绝无需录入真实生产成本！商业机密永不外泄</v>
      </c>
      <c r="C2" t="str">
        <v>企业老板 / 掌门人</v>
      </c>
      <c r="D2" t="str">
        <v>对外所有报价与核算均在此底价基础上向上浮动加价，即使员工或客户看到也永远不亏！</v>
      </c>
    </row>
    <row r="3">
      <c r="A3" t="str">
        <v>🚀【极简开箱】3分钟极速上手</v>
      </c>
      <c r="B3" t="str">
        <v>小微企业仅需维护【产品型号】、【产品名称】、【出厂底价】3 列即可全面跑通！其余12列均为选填智能增益项</v>
      </c>
      <c r="C3" t="str">
        <v>业务员 / 跟单 / 财务</v>
      </c>
      <c r="D3" t="str">
        <v>支持任意顺序与模糊表头，5分钟即可将工厂现有的老 Excel 直接导入系统生效！</v>
      </c>
    </row>
    <row r="4">
      <c r="A4" t="str">
        <v>1. 商品底价库 (Products)</v>
      </c>
      <c r="B4" t="str">
        <v>维护所有产品出厂安全底价、期望毛利、阶梯价、箱规与海关编码（前3列必填，其余按需选填）</v>
      </c>
      <c r="C4" t="str">
        <v>企业老板 / 财务总监</v>
      </c>
      <c r="D4" t="str">
        <v>修改后上传或发邮件即可秒级全员生效</v>
      </c>
    </row>
    <row r="5">
      <c r="A5" t="str">
        <v>2. 选配与工艺附加费 (Addons)</v>
      </c>
      <c r="B5" t="str">
        <v>定义喷涂、刻标、防火棉、开模等定制工艺加价规则</v>
      </c>
      <c r="C5" t="str">
        <v>工程部 / 报价经理</v>
      </c>
      <c r="D5" t="str">
        <v>AI 自动在 PO 描述与备注中智能匹配累加</v>
      </c>
    </row>
    <row r="6">
      <c r="A6" t="str">
        <v>3. 贸易术语与杂费 (Incoterms)</v>
      </c>
      <c r="B6" t="str">
        <v>配置 EXW 出厂价 / FOB 港口拖车报关杂费 / CIF 目的港海运指导</v>
      </c>
      <c r="C6" t="str">
        <v>出口单证 / 外贸经理</v>
      </c>
      <c r="D6" t="str">
        <v>根据买家指定交货条件自动计算港口杂费</v>
      </c>
    </row>
    <row r="7">
      <c r="A7" t="str">
        <v>4. 集装箱装载速算 (Container_Calc)</v>
      </c>
      <c r="B7" t="str">
        <v>20GP / 40GP / 40HQ 标箱容积与智能装柜计算器</v>
      </c>
      <c r="C7" t="str">
        <v>物流部 / 业务员</v>
      </c>
      <c r="D7" t="str">
        <v>自动在 PDF 报价单呈现整柜装箱能力</v>
      </c>
    </row>
    <row r="8">
      <c r="A8" t="str">
        <v>5. 汇率与风控 (Exchange_Rates)</v>
      </c>
      <c r="B8" t="str">
        <v>设定企业内部锁定基准汇率与 ±3% 汇率波动保护条款</v>
      </c>
      <c r="C8" t="str">
        <v>财务部 / 外贸总监</v>
      </c>
      <c r="D8" t="str">
        <v>锁定汇率，有效抵御人民币升值风险</v>
      </c>
    </row>
    <row r="9">
      <c r="A9" t="str">
        <v>6. 付款方式与条款 (Payment_Terms)</v>
      </c>
      <c r="B9" t="str">
        <v>定义 100%全款预付折扣、即期信用证与信保账期成本</v>
      </c>
      <c r="C9" t="str">
        <v>财务部 / 老板</v>
      </c>
      <c r="D9" t="str">
        <v>自动核算账期资金成本</v>
      </c>
    </row>
  </sheetData>
  <pageMargins left="0.7" right="0.7" top="0.75" bottom="0.75" header="0.3" footer="0.3"/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产品型号/SKU (必填)</v>
      </c>
      <c r="B1" t="str">
        <v>买家常用别名 (Aliases·选填)</v>
      </c>
      <c r="C1" t="str">
        <v>产品名称与规格 (必填·英文品名)</v>
      </c>
      <c r="D1" t="str">
        <v>出厂底价 (RMB Cost·必填安全结算底价)</v>
      </c>
      <c r="E1" t="str">
        <v>最低保护红线价 (Floor Price·选填)</v>
      </c>
      <c r="F1" t="str">
        <v>预期毛利率 (Margin·选填)</v>
      </c>
      <c r="G1" t="str">
        <v>最小起订量 (MOQ·选填)</v>
      </c>
      <c r="H1" t="str">
        <v>样品打样倍率 (Sample Multiplier·选填)</v>
      </c>
      <c r="I1" t="str">
        <v>5000件优惠底价 (Tier2·选填)</v>
      </c>
      <c r="J1" t="str">
        <v>整柜特惠底价 (Tier3·选填)</v>
      </c>
      <c r="K1" t="str">
        <v>单箱装量 (PCS/CTN·装柜选填)</v>
      </c>
      <c r="L1" t="str">
        <v>外箱体积 (CBM/CTN·装柜选填)</v>
      </c>
      <c r="M1" t="str">
        <v>生产交期 (Lead Time·选填)</v>
      </c>
      <c r="N1" t="str">
        <v>海关编码 (HS Code·选填)</v>
      </c>
      <c r="O1" t="str">
        <v>参考美元售价 (USD Ref Price·公式计算)</v>
      </c>
    </row>
    <row r="2">
      <c r="A2" t="str">
        <v>ST-2026-A</v>
      </c>
      <c r="B2" t="str">
        <v>ACME-991, Heavy Bracket, 991支架, Stand Pro</v>
      </c>
      <c r="C2" t="str">
        <v>Aluminum Alloy Precision Bracket (铝合金精密五金支架)</v>
      </c>
      <c r="D2">
        <v>15.5</v>
      </c>
      <c r="E2">
        <v>13</v>
      </c>
      <c r="F2">
        <v>0.3</v>
      </c>
      <c r="G2">
        <v>1000</v>
      </c>
      <c r="H2">
        <v>2.5</v>
      </c>
      <c r="I2">
        <v>13.5</v>
      </c>
      <c r="J2">
        <v>12</v>
      </c>
      <c r="K2">
        <v>50</v>
      </c>
      <c r="L2">
        <v>0.045</v>
      </c>
      <c r="M2" t="str">
        <v>25-30 Days</v>
      </c>
      <c r="N2" t="str">
        <v>7616.99.90</v>
      </c>
      <c r="O2">
        <f>ROUND(((D2*(1+F2)+0)/'汇率与风控 (Exchange_Rates)'!B2), 2)</f>
        <v>2.8</v>
      </c>
    </row>
    <row r="3">
      <c r="A3" t="str">
        <v>ST-2026-B</v>
      </c>
      <c r="B3" t="str">
        <v>FAST-SCREW, Hex Bolt, 不锈钢紧固件, 8820螺丝</v>
      </c>
      <c r="C3" t="str">
        <v>Stainless Steel Hex Fastener Screws (不锈钢沉头紧固件螺丝)</v>
      </c>
      <c r="D3">
        <v>0.85</v>
      </c>
      <c r="E3">
        <v>0.6</v>
      </c>
      <c r="F3">
        <v>0.4</v>
      </c>
      <c r="G3">
        <v>5000</v>
      </c>
      <c r="H3">
        <v>3</v>
      </c>
      <c r="I3">
        <v>0.72</v>
      </c>
      <c r="J3">
        <v>0.65</v>
      </c>
      <c r="K3">
        <v>1000</v>
      </c>
      <c r="L3">
        <v>0.015</v>
      </c>
      <c r="M3" t="str">
        <v>15-20 Days</v>
      </c>
      <c r="N3" t="str">
        <v>7318.15.00</v>
      </c>
      <c r="O3">
        <f>ROUND(((D3*(1+F3)+0)/'汇率与风控 (Exchange_Rates)'!B2), 2)</f>
        <v>0.17</v>
      </c>
    </row>
    <row r="4">
      <c r="A4" t="str">
        <v>ERG-PRO-V2</v>
      </c>
      <c r="B4" t="str">
        <v>Ergo Chair, Mesh Pro Chair, 9088办公椅, Executive Chair</v>
      </c>
      <c r="C4" t="str">
        <v>Ergonomic Mesh Office Chair (人体工学全网办公椅)</v>
      </c>
      <c r="D4">
        <v>185</v>
      </c>
      <c r="E4">
        <v>150</v>
      </c>
      <c r="F4">
        <v>0.35</v>
      </c>
      <c r="G4">
        <v>200</v>
      </c>
      <c r="H4">
        <v>2</v>
      </c>
      <c r="I4">
        <v>168</v>
      </c>
      <c r="J4">
        <v>155</v>
      </c>
      <c r="K4">
        <v>1</v>
      </c>
      <c r="L4">
        <v>0.145</v>
      </c>
      <c r="M4" t="str">
        <v>30-35 Days</v>
      </c>
      <c r="N4" t="str">
        <v>9401.31.00</v>
      </c>
      <c r="O4">
        <f>ROUND(((D4*(1+F4)+0)/'汇率与风控 (Exchange_Rates)'!B2), 2)</f>
        <v>34.69</v>
      </c>
    </row>
    <row r="5">
      <c r="A5" t="str">
        <v>AL-BASE-99</v>
      </c>
      <c r="B5" t="str">
        <v>5-Star Base, Chair Leg, 铝合金五星脚, Star Base 99</v>
      </c>
      <c r="C5" t="str">
        <v>Die-casting Aluminum 5-Star Base (高压铸铝五星椅脚)</v>
      </c>
      <c r="D5">
        <v>38</v>
      </c>
      <c r="E5">
        <v>30</v>
      </c>
      <c r="F5">
        <v>0.3</v>
      </c>
      <c r="G5">
        <v>500</v>
      </c>
      <c r="H5">
        <v>2.5</v>
      </c>
      <c r="I5">
        <v>34.5</v>
      </c>
      <c r="J5">
        <v>31</v>
      </c>
      <c r="K5">
        <v>5</v>
      </c>
      <c r="L5">
        <v>0.085</v>
      </c>
      <c r="M5" t="str">
        <v>20-25 Days</v>
      </c>
      <c r="N5" t="str">
        <v>9401.99.00</v>
      </c>
      <c r="O5">
        <f>ROUND(((D5*(1+F5)+0)/'汇率与风控 (Exchange_Rates)'!B2), 2)</f>
        <v>6.86</v>
      </c>
    </row>
    <row r="6">
      <c r="A6" t="str">
        <v>HD-ARM-08</v>
      </c>
      <c r="B6" t="str">
        <v>3D Armrest, PU Arm, 升降扶手, ARM-08</v>
      </c>
      <c r="C6" t="str">
        <v>3D Adjustable PU Armrest Set (3D升降多功能PU扶手套装)</v>
      </c>
      <c r="D6">
        <v>24</v>
      </c>
      <c r="E6">
        <v>19</v>
      </c>
      <c r="F6">
        <v>0.3</v>
      </c>
      <c r="G6">
        <v>500</v>
      </c>
      <c r="H6">
        <v>2.5</v>
      </c>
      <c r="I6">
        <v>21.5</v>
      </c>
      <c r="J6">
        <v>19.5</v>
      </c>
      <c r="K6">
        <v>20</v>
      </c>
      <c r="L6">
        <v>0.06</v>
      </c>
      <c r="M6" t="str">
        <v>20-25 Days</v>
      </c>
      <c r="N6" t="str">
        <v>9401.99.00</v>
      </c>
      <c r="O6">
        <f>ROUND(((D6*(1+F6)+0)/'汇率与风控 (Exchange_Rates)'!B2), 2)</f>
        <v>4.33</v>
      </c>
    </row>
  </sheetData>
  <pageMargins left="0.7" right="0.7" top="0.75" bottom="0.75" header="0.3" footer="0.3"/>
  <ignoredErrors>
    <ignoredError numberStoredAsText="1" sqref="A1:O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贸易术语 (Incoterm)</v>
      </c>
      <c r="B1" t="str">
        <v>指定港口/交货地点</v>
      </c>
      <c r="C1" t="str">
        <v>单件均摊杂费 (RMB)</v>
      </c>
      <c r="D1" t="str">
        <v>整单固定杂费 (RMB)</v>
      </c>
      <c r="E1" t="str">
        <v>费用包含说明</v>
      </c>
    </row>
    <row r="2">
      <c r="A2" t="str">
        <v>EXW</v>
      </c>
      <c r="B2" t="str">
        <v>工厂出厂 (Factory Ex-works)</v>
      </c>
      <c r="C2">
        <v>0</v>
      </c>
      <c r="D2">
        <v>0</v>
      </c>
      <c r="E2" t="str">
        <v>买家自提，工厂仅提供标准出厂包装，0额外杂费</v>
      </c>
    </row>
    <row r="3">
      <c r="A3" t="str">
        <v>FOB</v>
      </c>
      <c r="B3" t="str">
        <v>深圳盐田港 / 蛇口港 (Shenzhen)</v>
      </c>
      <c r="C3">
        <v>0.2</v>
      </c>
      <c r="D3">
        <v>1500</v>
      </c>
      <c r="E3" t="str">
        <v>包含工厂至深圳码头内陆拖车费、出口报关费、港口码头费(THC)</v>
      </c>
    </row>
    <row r="4">
      <c r="A4" t="str">
        <v>FOB</v>
      </c>
      <c r="B4" t="str">
        <v>广州南沙港 (Guangzhou Nansha)</v>
      </c>
      <c r="C4">
        <v>0.2</v>
      </c>
      <c r="D4">
        <v>1400</v>
      </c>
      <c r="E4" t="str">
        <v>包含南沙码头拖车、报关、港杂封条费</v>
      </c>
    </row>
    <row r="5">
      <c r="A5" t="str">
        <v>FOB</v>
      </c>
      <c r="B5" t="str">
        <v>佛山三山港 / 顺德新港 (Foshan Port)</v>
      </c>
      <c r="C5">
        <v>0.15</v>
      </c>
      <c r="D5">
        <v>1200</v>
      </c>
      <c r="E5" t="str">
        <v>佛山内河驳船港口报关装船费</v>
      </c>
    </row>
    <row r="6">
      <c r="A6" t="str">
        <v>CIF</v>
      </c>
      <c r="B6" t="str">
        <v>CIF 目的港 (Destination Port - 需另询海运费)</v>
      </c>
      <c r="C6">
        <v>0.2</v>
      </c>
      <c r="D6">
        <v>1500</v>
      </c>
      <c r="E6" t="str">
        <v>基准港杂费同FOB + 实际海运保险费（海运费随航线与船期浮动，可在复核界面直接打字或备注调整）</v>
      </c>
    </row>
  </sheetData>
  <pageMargins left="0.7" right="0.7" top="0.75" bottom="0.75" header="0.3" footer="0.3"/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集装箱型号 (Container Type)</v>
      </c>
      <c r="B1" t="str">
        <v>理论容积 (CBM)</v>
      </c>
      <c r="C1" t="str">
        <v>安全装载容积 (CBM)</v>
      </c>
      <c r="D1" t="str">
        <v>最大载重 (KG)</v>
      </c>
      <c r="E1" t="str">
        <v>装柜适用建议</v>
      </c>
    </row>
    <row r="2">
      <c r="A2" t="str">
        <v>20GP (20尺小柜)</v>
      </c>
      <c r="B2">
        <v>33.2</v>
      </c>
      <c r="C2">
        <v>28</v>
      </c>
      <c r="D2">
        <v>21800</v>
      </c>
      <c r="E2" t="str">
        <v>适合五金紧固件、金属椅脚等重货/小批量试单</v>
      </c>
    </row>
    <row r="3">
      <c r="A3" t="str">
        <v>40GP (40尺平柜)</v>
      </c>
      <c r="B3">
        <v>67.7</v>
      </c>
      <c r="C3">
        <v>58</v>
      </c>
      <c r="D3">
        <v>26000</v>
      </c>
      <c r="E3" t="str">
        <v>适合体积与重量适中的标准工业品</v>
      </c>
    </row>
    <row r="4">
      <c r="A4" t="str">
        <v>40HQ (40尺高柜)</v>
      </c>
      <c r="B4">
        <v>76.4</v>
      </c>
      <c r="C4">
        <v>68</v>
      </c>
      <c r="D4">
        <v>26000</v>
      </c>
      <c r="E4" t="str">
        <v>适合办公椅、家具、家电等轻泡泡货，性价比最高</v>
      </c>
    </row>
    <row r="5">
      <c r="A5" t="str">
        <v>45HQ (45尺超高柜)</v>
      </c>
      <c r="B5">
        <v>86</v>
      </c>
      <c r="C5">
        <v>78</v>
      </c>
      <c r="D5">
        <v>29000</v>
      </c>
      <c r="E5" t="str">
        <v>北美航线专用超大容积特种柜</v>
      </c>
    </row>
  </sheetData>
  <pageMargins left="0.7" right="0.7" top="0.75" bottom="0.75" header="0.3" footer="0.3"/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外币币种 (Target Currency)</v>
      </c>
      <c r="B1" t="str">
        <v>内部锁定汇率 (Rate To RMB)</v>
      </c>
      <c r="C1" t="str">
        <v>币种符号 (Symbol)</v>
      </c>
      <c r="D1" t="str">
        <v>汇率波动保护说明</v>
      </c>
    </row>
    <row r="2">
      <c r="A2" t="str">
        <v>USD</v>
      </c>
      <c r="B2">
        <v>7.2</v>
      </c>
      <c r="C2" t="str">
        <v>$</v>
      </c>
      <c r="D2" t="str">
        <v>基准美元结算汇率 (定金前波动超过±3%按实时微调)</v>
      </c>
    </row>
    <row r="3">
      <c r="A3" t="str">
        <v>EUR</v>
      </c>
      <c r="B3">
        <v>7.8</v>
      </c>
      <c r="C3" t="str">
        <v>€</v>
      </c>
      <c r="D3" t="str">
        <v>欧元区采购商专用汇率</v>
      </c>
    </row>
    <row r="4">
      <c r="A4" t="str">
        <v>GBP</v>
      </c>
      <c r="B4">
        <v>9.1</v>
      </c>
      <c r="C4" t="str">
        <v>£</v>
      </c>
      <c r="D4" t="str">
        <v>英国市场专用汇率</v>
      </c>
    </row>
    <row r="5">
      <c r="A5" t="str">
        <v>CAD</v>
      </c>
      <c r="B5">
        <v>5.3</v>
      </c>
      <c r="C5" t="str">
        <v>C$</v>
      </c>
      <c r="D5" t="str">
        <v>加拿大市场专用汇率</v>
      </c>
    </row>
    <row r="6">
      <c r="A6" t="str">
        <v>AUD</v>
      </c>
      <c r="B6">
        <v>4.8</v>
      </c>
      <c r="C6" t="str">
        <v>A$</v>
      </c>
      <c r="D6" t="str">
        <v>澳洲市场专用汇率</v>
      </c>
    </row>
    <row r="7">
      <c r="A7" t="str">
        <v>AED</v>
      </c>
      <c r="B7">
        <v>1.96</v>
      </c>
      <c r="C7" t="str">
        <v>AED</v>
      </c>
      <c r="D7" t="str">
        <v>中东阿联酋迪拉姆专用汇率</v>
      </c>
    </row>
  </sheetData>
  <pageMargins left="0.7" right="0.7" top="0.75" bottom="0.75" header="0.3" footer="0.3"/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付款方式 (Payment Term)</v>
      </c>
      <c r="B1" t="str">
        <v>价格浮动比例 (%)</v>
      </c>
      <c r="C1" t="str">
        <v>资金成本说明与商业要求</v>
      </c>
    </row>
    <row r="2">
      <c r="A2" t="str">
        <v>100% T/T Advance (100%前T/T预付)</v>
      </c>
      <c r="B2">
        <v>-0.02</v>
      </c>
      <c r="C2" t="str">
        <v>全款预付直降 2% 现金折扣</v>
      </c>
    </row>
    <row r="3">
      <c r="A3" t="str">
        <v>30% Deposit + 70% Balance (标准T/T)</v>
      </c>
      <c r="B3">
        <v>0</v>
      </c>
      <c r="C3" t="str">
        <v>行业标准付款方式，30%定金排产，70%见提单副本付款</v>
      </c>
    </row>
    <row r="4">
      <c r="A4" t="str">
        <v>L/C at sight (即期不可撤销信用证)</v>
      </c>
      <c r="B4">
        <v>0.015</v>
      </c>
      <c r="C4" t="str">
        <v>包含单据审核费与银行即期议付手续费(+1.5%)</v>
      </c>
    </row>
    <row r="5">
      <c r="A5" t="str">
        <v>OA 30/60 Days (赊销信保账期)</v>
      </c>
      <c r="B5">
        <v>0.045</v>
      </c>
      <c r="C5" t="str">
        <v>包含中信保投保费与企业资金占用利息(+4.5%)</v>
      </c>
    </row>
  </sheetData>
  <pageMargins left="0.7" right="0.7" top="0.75" bottom="0.75" header="0.3" footer="0.3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📌使用指南 (ReadMe)</vt:lpstr>
      <vt:lpstr>商品底价库 (Products)</vt:lpstr>
      <vt:lpstr>选配与工艺附加费 (Addons)</vt:lpstr>
      <vt:lpstr>贸易术语与杂费 (Incoterms)</vt:lpstr>
      <vt:lpstr>集装箱装载速算 (Container_Calc)</vt:lpstr>
      <vt:lpstr>汇率与风控 (Exchange_Rates)</vt:lpstr>
      <vt:lpstr>付款方式与条款 (Payment_Terms)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2026-09-05T03:32:13Z</dcterms:created>
  <dcterms:modified xsi:type="dcterms:W3CDTF">2026-09-05T03:32:13Z</dcterms:modified>
  <cp:lastModifiedBy>AI外贸报价大脑</cp:lastModifiedBy>
  <dc:creator>AI外贸数字员工</dc:creator>
</cp:coreProperties>
</file>